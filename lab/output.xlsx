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 Gadget\Downloads\Mishu\"/>
    </mc:Choice>
  </mc:AlternateContent>
  <xr:revisionPtr revIDLastSave="0" documentId="13_ncr:1_{997C8627-B7CE-4F51-ADB2-ACA481FBE549}" xr6:coauthVersionLast="47" xr6:coauthVersionMax="47" xr10:uidLastSave="{00000000-0000-0000-0000-000000000000}"/>
  <bookViews>
    <workbookView xWindow="-108" yWindow="-108" windowWidth="23256" windowHeight="12576" activeTab="2" xr2:uid="{9D9EC04F-246F-4A05-87D9-49320E595223}"/>
  </bookViews>
  <sheets>
    <sheet name="BSheet1" sheetId="1" r:id="rId1"/>
    <sheet name="MSheet2" sheetId="2" r:id="rId2"/>
    <sheet name="R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3" l="1"/>
  <c r="N7" i="3" s="1"/>
  <c r="N5" i="3"/>
  <c r="N4" i="3"/>
  <c r="M5" i="3"/>
  <c r="M6" i="3"/>
  <c r="M7" i="3"/>
  <c r="M4" i="3"/>
  <c r="L9" i="3"/>
  <c r="L5" i="3"/>
  <c r="L6" i="3"/>
  <c r="L7" i="3"/>
  <c r="L4" i="3"/>
  <c r="C5" i="3"/>
  <c r="C6" i="3"/>
  <c r="C7" i="3"/>
  <c r="C4" i="3"/>
  <c r="B9" i="3"/>
  <c r="I4" i="2"/>
  <c r="I5" i="2" s="1"/>
  <c r="I6" i="2" s="1"/>
  <c r="I7" i="2" s="1"/>
  <c r="I8" i="2" s="1"/>
  <c r="I3" i="2"/>
  <c r="I2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F10" i="2"/>
  <c r="C4" i="2"/>
  <c r="C5" i="2" s="1"/>
  <c r="C6" i="2" s="1"/>
  <c r="C7" i="2" s="1"/>
  <c r="C8" i="2" s="1"/>
  <c r="C9" i="2" s="1"/>
  <c r="C3" i="2"/>
  <c r="C2" i="2"/>
  <c r="A11" i="2"/>
  <c r="B9" i="2"/>
  <c r="B8" i="2"/>
  <c r="B7" i="2"/>
  <c r="B6" i="2"/>
  <c r="B5" i="2"/>
  <c r="B4" i="2"/>
  <c r="B3" i="2"/>
  <c r="B2" i="2"/>
  <c r="M19" i="1"/>
  <c r="M20" i="1" s="1"/>
  <c r="M21" i="1" s="1"/>
  <c r="M22" i="1" s="1"/>
  <c r="M23" i="1" s="1"/>
  <c r="M18" i="1"/>
  <c r="M17" i="1"/>
  <c r="L18" i="1"/>
  <c r="L19" i="1"/>
  <c r="L20" i="1"/>
  <c r="L21" i="1"/>
  <c r="L22" i="1"/>
  <c r="L23" i="1"/>
  <c r="L17" i="1"/>
  <c r="K18" i="1"/>
  <c r="K19" i="1"/>
  <c r="K20" i="1"/>
  <c r="K21" i="1"/>
  <c r="K22" i="1"/>
  <c r="K23" i="1"/>
  <c r="K17" i="1"/>
  <c r="J25" i="1"/>
  <c r="N4" i="1"/>
  <c r="N5" i="1" s="1"/>
  <c r="N6" i="1" s="1"/>
  <c r="N7" i="1" s="1"/>
  <c r="N8" i="1" s="1"/>
  <c r="N9" i="1" s="1"/>
  <c r="N3" i="1"/>
  <c r="N2" i="1"/>
  <c r="M3" i="1"/>
  <c r="M4" i="1"/>
  <c r="M5" i="1"/>
  <c r="M6" i="1"/>
  <c r="M7" i="1"/>
  <c r="M8" i="1"/>
  <c r="M9" i="1"/>
  <c r="M2" i="1"/>
  <c r="L11" i="1"/>
  <c r="L3" i="1"/>
  <c r="L4" i="1"/>
  <c r="L5" i="1"/>
  <c r="L6" i="1"/>
  <c r="L7" i="1"/>
  <c r="L8" i="1"/>
  <c r="L9" i="1"/>
  <c r="L2" i="1"/>
  <c r="K2" i="1"/>
  <c r="K3" i="1"/>
  <c r="K4" i="1"/>
  <c r="K5" i="1"/>
  <c r="K6" i="1"/>
  <c r="K7" i="1"/>
  <c r="K8" i="1"/>
  <c r="K9" i="1"/>
  <c r="J11" i="1"/>
  <c r="E13" i="1"/>
  <c r="E3" i="1"/>
  <c r="E4" i="1"/>
  <c r="E5" i="1"/>
  <c r="E6" i="1"/>
  <c r="E7" i="1"/>
  <c r="E8" i="1"/>
  <c r="E9" i="1"/>
  <c r="E10" i="1"/>
  <c r="E11" i="1"/>
  <c r="E2" i="1"/>
  <c r="D13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B13" i="1"/>
  <c r="A13" i="1"/>
  <c r="C9" i="3" l="1"/>
  <c r="D4" i="3" s="1"/>
  <c r="E4" i="3" s="1"/>
  <c r="D7" i="3"/>
  <c r="D6" i="3"/>
  <c r="D5" i="3"/>
  <c r="E5" i="3" s="1"/>
  <c r="E6" i="3" s="1"/>
  <c r="E7" i="3" s="1"/>
</calcChain>
</file>

<file path=xl/sharedStrings.xml><?xml version="1.0" encoding="utf-8"?>
<sst xmlns="http://schemas.openxmlformats.org/spreadsheetml/2006/main" count="40" uniqueCount="19">
  <si>
    <t>Mi</t>
  </si>
  <si>
    <t>MiY^^</t>
  </si>
  <si>
    <t>(yi-Y^)^2</t>
  </si>
  <si>
    <t>(yi-miY^^)^2</t>
  </si>
  <si>
    <t>yi</t>
  </si>
  <si>
    <t>Pi</t>
  </si>
  <si>
    <t>Pi(1-Pi)/(1-2Pi)</t>
  </si>
  <si>
    <t>Pi(1-Pi)/D(1-2Pi)</t>
  </si>
  <si>
    <t>D</t>
  </si>
  <si>
    <t>Cummulative</t>
  </si>
  <si>
    <t>Pi^</t>
  </si>
  <si>
    <t>cumulative</t>
  </si>
  <si>
    <t>Range</t>
  </si>
  <si>
    <t>Cumulative</t>
  </si>
  <si>
    <t xml:space="preserve">Unit Number </t>
  </si>
  <si>
    <t>Zgi</t>
  </si>
  <si>
    <t>Zgi^</t>
  </si>
  <si>
    <t>Grp 1</t>
  </si>
  <si>
    <t>Grp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</si>
</sst>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5BD1-19E2-4613-8981-A09178EB358D}">
  <dimension ref="A1:O25"/>
  <sheetViews>
    <sheetView topLeftCell="B1" zoomScale="130" zoomScaleNormal="130" workbookViewId="0">
      <selection activeCell="J1" sqref="J1:K11"/>
    </sheetView>
  </sheetViews>
  <sheetFormatPr defaultRowHeight="14.4" x14ac:dyDescent="0.3"/>
  <cols>
    <col min="4" max="4" width="11" bestFit="1" customWidth="1"/>
    <col min="12" max="12" width="12.6640625" bestFit="1" customWidth="1"/>
    <col min="13" max="13" width="14.21875" bestFit="1" customWidth="1"/>
    <col min="14" max="14" width="12.109375" bestFit="1" customWidth="1"/>
  </cols>
  <sheetData>
    <row r="1" spans="1:15" x14ac:dyDescent="0.3">
      <c r="A1" t="s">
        <v>0</v>
      </c>
      <c r="B1" t="s">
        <v>4</v>
      </c>
      <c r="C1" t="s">
        <v>1</v>
      </c>
      <c r="D1" t="s">
        <v>3</v>
      </c>
      <c r="E1" t="s">
        <v>2</v>
      </c>
      <c r="J1" t="s">
        <v>0</v>
      </c>
      <c r="K1" t="s">
        <v>5</v>
      </c>
      <c r="L1" t="s">
        <v>6</v>
      </c>
      <c r="M1" t="s">
        <v>7</v>
      </c>
      <c r="N1" t="s">
        <v>9</v>
      </c>
      <c r="O1" t="s">
        <v>12</v>
      </c>
    </row>
    <row r="2" spans="1:15" x14ac:dyDescent="0.3">
      <c r="A2">
        <v>401</v>
      </c>
      <c r="B2">
        <v>420</v>
      </c>
      <c r="C2">
        <f>A2*1.16</f>
        <v>465.15999999999997</v>
      </c>
      <c r="D2">
        <f>(B2-C2)^2</f>
        <v>2039.4255999999971</v>
      </c>
      <c r="E2">
        <f>(B2-655.7)^2</f>
        <v>55554.49000000002</v>
      </c>
      <c r="J2">
        <v>16</v>
      </c>
      <c r="K2">
        <f>J2/J$11</f>
        <v>9.580838323353294E-2</v>
      </c>
      <c r="L2">
        <f>K2*(1-K2)/(1-2*K2)</f>
        <v>0.10716345087602572</v>
      </c>
      <c r="M2">
        <f>(1/L$11)*L2</f>
        <v>8.9164080405441007E-2</v>
      </c>
      <c r="N2">
        <f>M2</f>
        <v>8.9164080405441007E-2</v>
      </c>
    </row>
    <row r="3" spans="1:15" x14ac:dyDescent="0.3">
      <c r="A3">
        <v>625</v>
      </c>
      <c r="B3">
        <v>786</v>
      </c>
      <c r="C3">
        <f t="shared" ref="C3:C11" si="0">A3*1.16</f>
        <v>725</v>
      </c>
      <c r="D3">
        <f t="shared" ref="D3:D11" si="1">(B3-C3)^2</f>
        <v>3721</v>
      </c>
      <c r="E3">
        <f t="shared" ref="E3:E11" si="2">(B3-655.7)^2</f>
        <v>16978.089999999989</v>
      </c>
      <c r="J3">
        <v>21</v>
      </c>
      <c r="K3">
        <f t="shared" ref="K3:K9" si="3">J3/J$11</f>
        <v>0.12574850299401197</v>
      </c>
      <c r="L3">
        <f t="shared" ref="L3:L9" si="4">K3*(1-K3)/(1-2*K3)</f>
        <v>0.14687425149700598</v>
      </c>
      <c r="M3">
        <f t="shared" ref="M3:M9" si="5">(1/L$11)*L3</f>
        <v>0.12220498185634467</v>
      </c>
      <c r="N3">
        <f>N2+M3</f>
        <v>0.21136906226178567</v>
      </c>
    </row>
    <row r="4" spans="1:15" x14ac:dyDescent="0.3">
      <c r="A4">
        <v>173</v>
      </c>
      <c r="B4">
        <v>177</v>
      </c>
      <c r="C4">
        <f t="shared" si="0"/>
        <v>200.67999999999998</v>
      </c>
      <c r="D4">
        <f t="shared" si="1"/>
        <v>560.74239999999895</v>
      </c>
      <c r="E4">
        <f t="shared" si="2"/>
        <v>229153.69000000003</v>
      </c>
      <c r="J4">
        <v>28</v>
      </c>
      <c r="K4">
        <f t="shared" si="3"/>
        <v>0.16766467065868262</v>
      </c>
      <c r="L4">
        <f t="shared" si="4"/>
        <v>0.2099584614554674</v>
      </c>
      <c r="M4">
        <f t="shared" si="5"/>
        <v>0.17469345178773196</v>
      </c>
      <c r="N4">
        <f t="shared" ref="N4:N9" si="6">N3+M4</f>
        <v>0.38606251404951764</v>
      </c>
    </row>
    <row r="5" spans="1:15" x14ac:dyDescent="0.3">
      <c r="A5">
        <v>135</v>
      </c>
      <c r="B5">
        <v>95</v>
      </c>
      <c r="C5">
        <f t="shared" si="0"/>
        <v>156.6</v>
      </c>
      <c r="D5">
        <f t="shared" si="1"/>
        <v>3794.5599999999995</v>
      </c>
      <c r="E5">
        <f t="shared" si="2"/>
        <v>314384.49000000005</v>
      </c>
      <c r="J5">
        <v>19</v>
      </c>
      <c r="K5">
        <f t="shared" si="3"/>
        <v>0.11377245508982035</v>
      </c>
      <c r="L5">
        <f t="shared" si="4"/>
        <v>0.13052963839762335</v>
      </c>
      <c r="M5">
        <f t="shared" si="5"/>
        <v>0.10860564005953051</v>
      </c>
      <c r="N5">
        <f t="shared" si="6"/>
        <v>0.49466815410904813</v>
      </c>
    </row>
    <row r="6" spans="1:15" x14ac:dyDescent="0.3">
      <c r="A6">
        <v>2704</v>
      </c>
      <c r="B6">
        <v>3386</v>
      </c>
      <c r="C6">
        <f t="shared" si="0"/>
        <v>3136.64</v>
      </c>
      <c r="D6">
        <f t="shared" si="1"/>
        <v>62180.409600000065</v>
      </c>
      <c r="E6">
        <f t="shared" si="2"/>
        <v>7454538.0900000008</v>
      </c>
      <c r="J6">
        <v>32</v>
      </c>
      <c r="K6">
        <f t="shared" si="3"/>
        <v>0.19161676646706588</v>
      </c>
      <c r="L6">
        <f t="shared" si="4"/>
        <v>0.25114818905877573</v>
      </c>
      <c r="M6">
        <f t="shared" si="5"/>
        <v>0.20896487692267254</v>
      </c>
      <c r="N6">
        <f t="shared" si="6"/>
        <v>0.7036330310317207</v>
      </c>
    </row>
    <row r="7" spans="1:15" x14ac:dyDescent="0.3">
      <c r="A7">
        <v>177</v>
      </c>
      <c r="B7">
        <v>173</v>
      </c>
      <c r="C7">
        <f t="shared" si="0"/>
        <v>205.32</v>
      </c>
      <c r="D7">
        <f t="shared" si="1"/>
        <v>1044.5823999999996</v>
      </c>
      <c r="E7">
        <f t="shared" si="2"/>
        <v>232999.29000000004</v>
      </c>
      <c r="J7">
        <v>27</v>
      </c>
      <c r="K7">
        <f t="shared" si="3"/>
        <v>0.16167664670658682</v>
      </c>
      <c r="L7">
        <f t="shared" si="4"/>
        <v>0.20030734990196594</v>
      </c>
      <c r="M7">
        <f t="shared" si="5"/>
        <v>0.16666335869606949</v>
      </c>
      <c r="N7">
        <f t="shared" si="6"/>
        <v>0.87029638972779022</v>
      </c>
    </row>
    <row r="8" spans="1:15" x14ac:dyDescent="0.3">
      <c r="A8">
        <v>344</v>
      </c>
      <c r="B8">
        <v>376</v>
      </c>
      <c r="C8">
        <f t="shared" si="0"/>
        <v>399.03999999999996</v>
      </c>
      <c r="D8">
        <f t="shared" si="1"/>
        <v>530.84159999999838</v>
      </c>
      <c r="E8">
        <f t="shared" si="2"/>
        <v>78232.090000000026</v>
      </c>
      <c r="J8">
        <v>11</v>
      </c>
      <c r="K8">
        <f t="shared" si="3"/>
        <v>6.5868263473053898E-2</v>
      </c>
      <c r="L8">
        <f t="shared" si="4"/>
        <v>7.0865166219285583E-2</v>
      </c>
      <c r="M8">
        <f t="shared" si="5"/>
        <v>5.896252245582459E-2</v>
      </c>
      <c r="N8">
        <f t="shared" si="6"/>
        <v>0.92925891218361478</v>
      </c>
    </row>
    <row r="9" spans="1:15" x14ac:dyDescent="0.3">
      <c r="A9">
        <v>201</v>
      </c>
      <c r="B9">
        <v>183</v>
      </c>
      <c r="C9">
        <f t="shared" si="0"/>
        <v>233.16</v>
      </c>
      <c r="D9">
        <f t="shared" si="1"/>
        <v>2516.0255999999995</v>
      </c>
      <c r="E9">
        <f t="shared" si="2"/>
        <v>223445.29000000004</v>
      </c>
      <c r="J9">
        <v>13</v>
      </c>
      <c r="K9">
        <f t="shared" si="3"/>
        <v>7.7844311377245512E-2</v>
      </c>
      <c r="L9">
        <f t="shared" si="4"/>
        <v>8.5021446468764611E-2</v>
      </c>
      <c r="M9">
        <f t="shared" si="5"/>
        <v>7.0741087816385287E-2</v>
      </c>
      <c r="N9">
        <f t="shared" si="6"/>
        <v>1</v>
      </c>
    </row>
    <row r="10" spans="1:15" x14ac:dyDescent="0.3">
      <c r="A10">
        <v>601</v>
      </c>
      <c r="B10">
        <v>685</v>
      </c>
      <c r="C10">
        <f t="shared" si="0"/>
        <v>697.16</v>
      </c>
      <c r="D10">
        <f t="shared" si="1"/>
        <v>147.86559999999923</v>
      </c>
      <c r="E10">
        <f t="shared" si="2"/>
        <v>858.48999999999728</v>
      </c>
      <c r="L10" t="s">
        <v>8</v>
      </c>
    </row>
    <row r="11" spans="1:15" x14ac:dyDescent="0.3">
      <c r="A11">
        <v>286</v>
      </c>
      <c r="B11">
        <v>276</v>
      </c>
      <c r="C11">
        <f t="shared" si="0"/>
        <v>331.76</v>
      </c>
      <c r="D11">
        <f t="shared" si="1"/>
        <v>3109.1775999999991</v>
      </c>
      <c r="E11">
        <f t="shared" si="2"/>
        <v>144172.09000000003</v>
      </c>
      <c r="J11">
        <f>SUM(J2:J9)</f>
        <v>167</v>
      </c>
      <c r="L11">
        <f>SUM(L2:L9)</f>
        <v>1.2018679538749142</v>
      </c>
    </row>
    <row r="13" spans="1:15" x14ac:dyDescent="0.3">
      <c r="A13">
        <f>SUM(A2:A11)</f>
        <v>5647</v>
      </c>
      <c r="B13">
        <f>SUM(B2:B11)</f>
        <v>6557</v>
      </c>
      <c r="D13">
        <f>SUM(D2:D11)</f>
        <v>79644.630400000053</v>
      </c>
      <c r="E13">
        <f>SUM(E2:E11)</f>
        <v>8750316.0999999996</v>
      </c>
    </row>
    <row r="16" spans="1:15" x14ac:dyDescent="0.3">
      <c r="J16" t="s">
        <v>0</v>
      </c>
      <c r="K16" t="s">
        <v>5</v>
      </c>
      <c r="L16" t="s">
        <v>10</v>
      </c>
      <c r="M16" t="s">
        <v>11</v>
      </c>
      <c r="N16" t="s">
        <v>12</v>
      </c>
    </row>
    <row r="17" spans="10:13" x14ac:dyDescent="0.3">
      <c r="J17">
        <v>21</v>
      </c>
      <c r="K17">
        <f>J17/J$11</f>
        <v>0.12574850299401197</v>
      </c>
      <c r="L17">
        <f>J17/J$25</f>
        <v>0.13907284768211919</v>
      </c>
      <c r="M17">
        <f>L17</f>
        <v>0.13907284768211919</v>
      </c>
    </row>
    <row r="18" spans="10:13" x14ac:dyDescent="0.3">
      <c r="J18">
        <v>28</v>
      </c>
      <c r="K18">
        <f t="shared" ref="K18:K23" si="7">J18/J$11</f>
        <v>0.16766467065868262</v>
      </c>
      <c r="L18">
        <f t="shared" ref="L18:L23" si="8">J18/J$25</f>
        <v>0.18543046357615894</v>
      </c>
      <c r="M18">
        <f>M17+L18</f>
        <v>0.32450331125827814</v>
      </c>
    </row>
    <row r="19" spans="10:13" x14ac:dyDescent="0.3">
      <c r="J19">
        <v>19</v>
      </c>
      <c r="K19">
        <f t="shared" si="7"/>
        <v>0.11377245508982035</v>
      </c>
      <c r="L19">
        <f t="shared" si="8"/>
        <v>0.12582781456953643</v>
      </c>
      <c r="M19">
        <f t="shared" ref="M19:M23" si="9">M18+L19</f>
        <v>0.45033112582781454</v>
      </c>
    </row>
    <row r="20" spans="10:13" x14ac:dyDescent="0.3">
      <c r="J20">
        <v>32</v>
      </c>
      <c r="K20">
        <f t="shared" si="7"/>
        <v>0.19161676646706588</v>
      </c>
      <c r="L20">
        <f t="shared" si="8"/>
        <v>0.2119205298013245</v>
      </c>
      <c r="M20">
        <f t="shared" si="9"/>
        <v>0.66225165562913901</v>
      </c>
    </row>
    <row r="21" spans="10:13" x14ac:dyDescent="0.3">
      <c r="J21">
        <v>27</v>
      </c>
      <c r="K21">
        <f t="shared" si="7"/>
        <v>0.16167664670658682</v>
      </c>
      <c r="L21">
        <f t="shared" si="8"/>
        <v>0.17880794701986755</v>
      </c>
      <c r="M21">
        <f t="shared" si="9"/>
        <v>0.84105960264900659</v>
      </c>
    </row>
    <row r="22" spans="10:13" x14ac:dyDescent="0.3">
      <c r="J22">
        <v>11</v>
      </c>
      <c r="K22">
        <f t="shared" si="7"/>
        <v>6.5868263473053898E-2</v>
      </c>
      <c r="L22">
        <f t="shared" si="8"/>
        <v>7.2847682119205295E-2</v>
      </c>
      <c r="M22">
        <f t="shared" si="9"/>
        <v>0.91390728476821192</v>
      </c>
    </row>
    <row r="23" spans="10:13" x14ac:dyDescent="0.3">
      <c r="J23">
        <v>13</v>
      </c>
      <c r="K23">
        <f t="shared" si="7"/>
        <v>7.7844311377245512E-2</v>
      </c>
      <c r="L23">
        <f t="shared" si="8"/>
        <v>8.6092715231788075E-2</v>
      </c>
      <c r="M23">
        <f t="shared" si="9"/>
        <v>1</v>
      </c>
    </row>
    <row r="25" spans="10:13" x14ac:dyDescent="0.3">
      <c r="J25">
        <f>SUM(J17:J23)</f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F89B-E85B-4715-87B8-E7BD4F3FBF5A}">
  <dimension ref="A1:J11"/>
  <sheetViews>
    <sheetView workbookViewId="0">
      <selection activeCell="J2" sqref="J2"/>
    </sheetView>
  </sheetViews>
  <sheetFormatPr defaultRowHeight="14.4" x14ac:dyDescent="0.3"/>
  <cols>
    <col min="3" max="3" width="12" bestFit="1" customWidth="1"/>
  </cols>
  <sheetData>
    <row r="1" spans="1:10" x14ac:dyDescent="0.3">
      <c r="A1" t="s">
        <v>0</v>
      </c>
      <c r="B1" t="s">
        <v>5</v>
      </c>
      <c r="C1" t="s">
        <v>13</v>
      </c>
      <c r="D1" t="s">
        <v>12</v>
      </c>
      <c r="F1" t="s">
        <v>0</v>
      </c>
      <c r="G1" t="s">
        <v>5</v>
      </c>
      <c r="H1" t="s">
        <v>10</v>
      </c>
      <c r="I1" t="s">
        <v>13</v>
      </c>
      <c r="J1" t="s">
        <v>12</v>
      </c>
    </row>
    <row r="2" spans="1:10" x14ac:dyDescent="0.3">
      <c r="A2">
        <v>16</v>
      </c>
      <c r="B2">
        <f>A2/A$11</f>
        <v>9.580838323353294E-2</v>
      </c>
      <c r="C2">
        <f>B2</f>
        <v>9.580838323353294E-2</v>
      </c>
      <c r="F2">
        <v>16</v>
      </c>
      <c r="G2">
        <f>F2/A$11</f>
        <v>9.580838323353294E-2</v>
      </c>
      <c r="H2">
        <f>F2/F$10</f>
        <v>0.11851851851851852</v>
      </c>
      <c r="I2">
        <f>H2</f>
        <v>0.11851851851851852</v>
      </c>
    </row>
    <row r="3" spans="1:10" x14ac:dyDescent="0.3">
      <c r="A3">
        <v>21</v>
      </c>
      <c r="B3">
        <f t="shared" ref="B3:B9" si="0">A3/A$11</f>
        <v>0.12574850299401197</v>
      </c>
      <c r="C3">
        <f>C2+B3</f>
        <v>0.22155688622754491</v>
      </c>
      <c r="F3">
        <v>21</v>
      </c>
      <c r="G3">
        <f t="shared" ref="G3:G8" si="1">F3/A$11</f>
        <v>0.12574850299401197</v>
      </c>
      <c r="H3">
        <f t="shared" ref="H3:H8" si="2">F3/F$10</f>
        <v>0.15555555555555556</v>
      </c>
      <c r="I3">
        <f>I2+H3</f>
        <v>0.27407407407407408</v>
      </c>
    </row>
    <row r="4" spans="1:10" x14ac:dyDescent="0.3">
      <c r="A4">
        <v>28</v>
      </c>
      <c r="B4">
        <f t="shared" si="0"/>
        <v>0.16766467065868262</v>
      </c>
      <c r="C4">
        <f t="shared" ref="C4:C9" si="3">C3+B4</f>
        <v>0.3892215568862275</v>
      </c>
      <c r="F4">
        <v>28</v>
      </c>
      <c r="G4">
        <f t="shared" si="1"/>
        <v>0.16766467065868262</v>
      </c>
      <c r="H4">
        <f t="shared" si="2"/>
        <v>0.2074074074074074</v>
      </c>
      <c r="I4">
        <f t="shared" ref="I4:I8" si="4">I3+H4</f>
        <v>0.48148148148148151</v>
      </c>
    </row>
    <row r="5" spans="1:10" x14ac:dyDescent="0.3">
      <c r="A5">
        <v>19</v>
      </c>
      <c r="B5">
        <f t="shared" si="0"/>
        <v>0.11377245508982035</v>
      </c>
      <c r="C5">
        <f t="shared" si="3"/>
        <v>0.50299401197604787</v>
      </c>
      <c r="F5">
        <v>19</v>
      </c>
      <c r="G5">
        <f t="shared" si="1"/>
        <v>0.11377245508982035</v>
      </c>
      <c r="H5">
        <f t="shared" si="2"/>
        <v>0.14074074074074075</v>
      </c>
      <c r="I5">
        <f t="shared" si="4"/>
        <v>0.62222222222222223</v>
      </c>
    </row>
    <row r="6" spans="1:10" x14ac:dyDescent="0.3">
      <c r="A6">
        <v>32</v>
      </c>
      <c r="B6">
        <f t="shared" si="0"/>
        <v>0.19161676646706588</v>
      </c>
      <c r="C6">
        <f t="shared" si="3"/>
        <v>0.6946107784431137</v>
      </c>
      <c r="F6">
        <v>27</v>
      </c>
      <c r="G6">
        <f t="shared" si="1"/>
        <v>0.16167664670658682</v>
      </c>
      <c r="H6">
        <f t="shared" si="2"/>
        <v>0.2</v>
      </c>
      <c r="I6">
        <f t="shared" si="4"/>
        <v>0.82222222222222219</v>
      </c>
    </row>
    <row r="7" spans="1:10" x14ac:dyDescent="0.3">
      <c r="A7">
        <v>27</v>
      </c>
      <c r="B7">
        <f t="shared" si="0"/>
        <v>0.16167664670658682</v>
      </c>
      <c r="C7">
        <f t="shared" si="3"/>
        <v>0.85628742514970058</v>
      </c>
      <c r="F7">
        <v>11</v>
      </c>
      <c r="G7">
        <f t="shared" si="1"/>
        <v>6.5868263473053898E-2</v>
      </c>
      <c r="H7">
        <f t="shared" si="2"/>
        <v>8.1481481481481488E-2</v>
      </c>
      <c r="I7">
        <f t="shared" si="4"/>
        <v>0.90370370370370368</v>
      </c>
    </row>
    <row r="8" spans="1:10" x14ac:dyDescent="0.3">
      <c r="A8">
        <v>11</v>
      </c>
      <c r="B8">
        <f t="shared" si="0"/>
        <v>6.5868263473053898E-2</v>
      </c>
      <c r="C8">
        <f t="shared" si="3"/>
        <v>0.92215568862275443</v>
      </c>
      <c r="F8">
        <v>13</v>
      </c>
      <c r="G8">
        <f t="shared" si="1"/>
        <v>7.7844311377245512E-2</v>
      </c>
      <c r="H8">
        <f t="shared" si="2"/>
        <v>9.6296296296296297E-2</v>
      </c>
      <c r="I8">
        <f t="shared" si="4"/>
        <v>1</v>
      </c>
    </row>
    <row r="9" spans="1:10" x14ac:dyDescent="0.3">
      <c r="A9">
        <v>13</v>
      </c>
      <c r="B9">
        <f t="shared" si="0"/>
        <v>7.7844311377245512E-2</v>
      </c>
      <c r="C9">
        <f t="shared" si="3"/>
        <v>1</v>
      </c>
    </row>
    <row r="10" spans="1:10" x14ac:dyDescent="0.3">
      <c r="F10">
        <f>SUM(F2:F8)</f>
        <v>135</v>
      </c>
    </row>
    <row r="11" spans="1:10" x14ac:dyDescent="0.3">
      <c r="A11">
        <f>SUM(A2:A9)</f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2DC8-2B6C-4002-BEC2-D8B270467F8C}">
  <dimension ref="A1:O9"/>
  <sheetViews>
    <sheetView tabSelected="1" workbookViewId="0">
      <selection activeCell="O13" sqref="O13"/>
    </sheetView>
  </sheetViews>
  <sheetFormatPr defaultRowHeight="14.4" x14ac:dyDescent="0.3"/>
  <cols>
    <col min="1" max="1" width="11.88671875" bestFit="1" customWidth="1"/>
    <col min="5" max="5" width="10.109375" bestFit="1" customWidth="1"/>
    <col min="14" max="14" width="12" bestFit="1" customWidth="1"/>
  </cols>
  <sheetData>
    <row r="1" spans="1:15" x14ac:dyDescent="0.3">
      <c r="A1" t="s">
        <v>17</v>
      </c>
      <c r="I1" t="s">
        <v>18</v>
      </c>
    </row>
    <row r="3" spans="1:15" x14ac:dyDescent="0.3">
      <c r="A3" t="s">
        <v>14</v>
      </c>
      <c r="B3" t="s">
        <v>0</v>
      </c>
      <c r="C3" t="s">
        <v>15</v>
      </c>
      <c r="D3" t="s">
        <v>16</v>
      </c>
      <c r="E3" t="s">
        <v>13</v>
      </c>
      <c r="F3" t="s">
        <v>12</v>
      </c>
      <c r="J3" t="s">
        <v>14</v>
      </c>
      <c r="K3" t="s">
        <v>0</v>
      </c>
      <c r="L3" t="s">
        <v>15</v>
      </c>
      <c r="M3" t="s">
        <v>16</v>
      </c>
      <c r="N3" t="s">
        <v>13</v>
      </c>
      <c r="O3" t="s">
        <v>12</v>
      </c>
    </row>
    <row r="4" spans="1:15" x14ac:dyDescent="0.3">
      <c r="A4">
        <v>2</v>
      </c>
      <c r="B4">
        <v>21</v>
      </c>
      <c r="C4">
        <f>B4/167</f>
        <v>0.12574850299401197</v>
      </c>
      <c r="D4">
        <f>C4/C$9</f>
        <v>0.28767123287671231</v>
      </c>
      <c r="E4">
        <f>D4</f>
        <v>0.28767123287671231</v>
      </c>
      <c r="J4">
        <v>1</v>
      </c>
      <c r="K4">
        <v>16</v>
      </c>
      <c r="L4">
        <f>K4/167</f>
        <v>9.580838323353294E-2</v>
      </c>
      <c r="M4">
        <f>L4/L$9</f>
        <v>0.17021276595744683</v>
      </c>
      <c r="N4">
        <f>M4</f>
        <v>0.17021276595744683</v>
      </c>
    </row>
    <row r="5" spans="1:15" x14ac:dyDescent="0.3">
      <c r="A5">
        <v>3</v>
      </c>
      <c r="B5">
        <v>28</v>
      </c>
      <c r="C5">
        <f t="shared" ref="C5:C7" si="0">B5/167</f>
        <v>0.16766467065868262</v>
      </c>
      <c r="D5">
        <f t="shared" ref="D5:D7" si="1">C5/C$9</f>
        <v>0.38356164383561642</v>
      </c>
      <c r="E5">
        <f>E4+D5</f>
        <v>0.67123287671232879</v>
      </c>
      <c r="J5">
        <v>4</v>
      </c>
      <c r="K5">
        <v>19</v>
      </c>
      <c r="L5">
        <f t="shared" ref="L5:L7" si="2">K5/167</f>
        <v>0.11377245508982035</v>
      </c>
      <c r="M5">
        <f t="shared" ref="M5:M7" si="3">L5/L$9</f>
        <v>0.20212765957446807</v>
      </c>
      <c r="N5">
        <f>N4+M5</f>
        <v>0.37234042553191493</v>
      </c>
    </row>
    <row r="6" spans="1:15" x14ac:dyDescent="0.3">
      <c r="A6">
        <v>7</v>
      </c>
      <c r="B6">
        <v>11</v>
      </c>
      <c r="C6">
        <f t="shared" si="0"/>
        <v>6.5868263473053898E-2</v>
      </c>
      <c r="D6">
        <f t="shared" si="1"/>
        <v>0.15068493150684933</v>
      </c>
      <c r="E6">
        <f t="shared" ref="E6:E7" si="4">E5+D6</f>
        <v>0.82191780821917815</v>
      </c>
      <c r="J6">
        <v>5</v>
      </c>
      <c r="K6">
        <v>32</v>
      </c>
      <c r="L6">
        <f t="shared" si="2"/>
        <v>0.19161676646706588</v>
      </c>
      <c r="M6">
        <f t="shared" si="3"/>
        <v>0.34042553191489366</v>
      </c>
      <c r="N6">
        <f t="shared" ref="N6:N7" si="5">N5+M6</f>
        <v>0.7127659574468086</v>
      </c>
    </row>
    <row r="7" spans="1:15" x14ac:dyDescent="0.3">
      <c r="A7">
        <v>8</v>
      </c>
      <c r="B7">
        <v>13</v>
      </c>
      <c r="C7">
        <f t="shared" si="0"/>
        <v>7.7844311377245512E-2</v>
      </c>
      <c r="D7">
        <f t="shared" si="1"/>
        <v>0.17808219178082194</v>
      </c>
      <c r="E7">
        <f t="shared" si="4"/>
        <v>1</v>
      </c>
      <c r="J7">
        <v>6</v>
      </c>
      <c r="K7">
        <v>27</v>
      </c>
      <c r="L7">
        <f t="shared" si="2"/>
        <v>0.16167664670658682</v>
      </c>
      <c r="M7">
        <f t="shared" si="3"/>
        <v>0.28723404255319146</v>
      </c>
      <c r="N7">
        <f t="shared" si="5"/>
        <v>1</v>
      </c>
    </row>
    <row r="9" spans="1:15" x14ac:dyDescent="0.3">
      <c r="B9">
        <f>SUM(B4:B7)</f>
        <v>73</v>
      </c>
      <c r="C9">
        <f>SUM(C4:C7)</f>
        <v>0.43712574850299402</v>
      </c>
      <c r="L9">
        <f>SUM(L4:L7)</f>
        <v>0.56287425149700598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BSheet1</vt:lpstr>
      <vt:lpstr>MSheet2</vt:lpstr>
      <vt:lpstr>RSheet3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rokshanaliza789350@gmail.com</dc:creator>
  <cp:lastModifiedBy>rokshanaliza789350@gmail.com</cp:lastModifiedBy>
  <dcterms:created xsi:type="dcterms:W3CDTF">2025-12-03T16:04:25Z</dcterms:created>
  <dcterms:modified xsi:type="dcterms:W3CDTF">2025-12-03T18:01:01Z</dcterms:modified>
</cp:coreProperties>
</file>